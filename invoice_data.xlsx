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arrox_master_Invoice_new\"/>
    </mc:Choice>
  </mc:AlternateContent>
  <xr:revisionPtr revIDLastSave="0" documentId="13_ncr:1_{0FA84BEC-E95F-40A5-B429-6E85873A202F}" xr6:coauthVersionLast="47" xr6:coauthVersionMax="47" xr10:uidLastSave="{00000000-0000-0000-0000-000000000000}"/>
  <bookViews>
    <workbookView xWindow="-120" yWindow="-120" windowWidth="24240" windowHeight="17520" activeTab="1" xr2:uid="{00000000-000D-0000-FFFF-FFFF00000000}"/>
  </bookViews>
  <sheets>
    <sheet name="Details" sheetId="1" r:id="rId1"/>
    <sheet name="Item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</calcChain>
</file>

<file path=xl/sharedStrings.xml><?xml version="1.0" encoding="utf-8"?>
<sst xmlns="http://schemas.openxmlformats.org/spreadsheetml/2006/main" count="196" uniqueCount="136">
  <si>
    <t>Field</t>
  </si>
  <si>
    <t>Value</t>
  </si>
  <si>
    <t>Supplier Name</t>
  </si>
  <si>
    <t>My Company Ltd</t>
  </si>
  <si>
    <t>Supplier Address 1</t>
  </si>
  <si>
    <t>123 Business St</t>
  </si>
  <si>
    <t>Supplier Address 2</t>
  </si>
  <si>
    <t>Dublin, Ireland</t>
  </si>
  <si>
    <t>Supplier Email</t>
  </si>
  <si>
    <t>info@company.com</t>
  </si>
  <si>
    <t>Supplier Phone</t>
  </si>
  <si>
    <t>+353 1 234 5678</t>
  </si>
  <si>
    <t>Supplier VAT</t>
  </si>
  <si>
    <t>IE1234567XX</t>
  </si>
  <si>
    <t>Supplier VRT TAN</t>
  </si>
  <si>
    <t>VRT123</t>
  </si>
  <si>
    <t>Invoice Number</t>
  </si>
  <si>
    <t>INV-001</t>
  </si>
  <si>
    <t>Ref PO</t>
  </si>
  <si>
    <t>PO-001</t>
  </si>
  <si>
    <t>Invoice Date</t>
  </si>
  <si>
    <t>31/01/2025</t>
  </si>
  <si>
    <t>Customer Name</t>
  </si>
  <si>
    <t>Customer Address</t>
  </si>
  <si>
    <t>Customer Email</t>
  </si>
  <si>
    <t>customer@email.com</t>
  </si>
  <si>
    <t>Shipping Due Date</t>
  </si>
  <si>
    <t>28/02/2025</t>
  </si>
  <si>
    <t>Items Count</t>
  </si>
  <si>
    <t>From/To</t>
  </si>
  <si>
    <t>Japan to Dublin</t>
  </si>
  <si>
    <t>Shipped Via</t>
  </si>
  <si>
    <t>MSC</t>
  </si>
  <si>
    <t>IRL ETA</t>
  </si>
  <si>
    <t>15/03/2025</t>
  </si>
  <si>
    <t>IRL Delivery</t>
  </si>
  <si>
    <t>Delivery Note</t>
  </si>
  <si>
    <t>Bank Name</t>
  </si>
  <si>
    <t>Bank of Ireland</t>
  </si>
  <si>
    <t>Bank Address</t>
  </si>
  <si>
    <t>Dublin Branch</t>
  </si>
  <si>
    <t>IBAN</t>
  </si>
  <si>
    <t>IE89BOFI900000000</t>
  </si>
  <si>
    <t>Account Name</t>
  </si>
  <si>
    <t>Company Account</t>
  </si>
  <si>
    <t>Bank Phone</t>
  </si>
  <si>
    <t>+353 1 670 0000</t>
  </si>
  <si>
    <t>Total CIF</t>
  </si>
  <si>
    <t>€100,000.00</t>
  </si>
  <si>
    <t>Yen Equivalent</t>
  </si>
  <si>
    <t>¥14,000,000</t>
  </si>
  <si>
    <t>FX Rate</t>
  </si>
  <si>
    <t>140.00</t>
  </si>
  <si>
    <t>CCT</t>
  </si>
  <si>
    <t>€1,000.00</t>
  </si>
  <si>
    <t>Clearance</t>
  </si>
  <si>
    <t>€100.00</t>
  </si>
  <si>
    <t>Port Handling</t>
  </si>
  <si>
    <t>€150.00</t>
  </si>
  <si>
    <t>Devanning</t>
  </si>
  <si>
    <t>€300.00</t>
  </si>
  <si>
    <t>Broker Fees</t>
  </si>
  <si>
    <t>€500.00</t>
  </si>
  <si>
    <t>Total Excl VAT</t>
  </si>
  <si>
    <t>€102,050.00</t>
  </si>
  <si>
    <t>VAT 23%</t>
  </si>
  <si>
    <t>€23,471.50</t>
  </si>
  <si>
    <t>Total Fully Delivered</t>
  </si>
  <si>
    <t>€125,521.50</t>
  </si>
  <si>
    <t>Balance Total CIF</t>
  </si>
  <si>
    <t>Order Deposit</t>
  </si>
  <si>
    <t>¥1,000,000</t>
  </si>
  <si>
    <t>Yen FX Forward</t>
  </si>
  <si>
    <t>¥13,000,000</t>
  </si>
  <si>
    <t>Due Euro Equivalent</t>
  </si>
  <si>
    <t>€92,857.14</t>
  </si>
  <si>
    <t>FX Forward Rate</t>
  </si>
  <si>
    <t>Due Import Costs</t>
  </si>
  <si>
    <t>€32,664.36</t>
  </si>
  <si>
    <t>Total Balance Due</t>
  </si>
  <si>
    <t>Paid To Date</t>
  </si>
  <si>
    <t>€50,000.00</t>
  </si>
  <si>
    <t>Paid Date</t>
  </si>
  <si>
    <t>30/01/2025</t>
  </si>
  <si>
    <t>Remaining Due</t>
  </si>
  <si>
    <t>€75,521.50</t>
  </si>
  <si>
    <t>Make</t>
  </si>
  <si>
    <t>Model Code</t>
  </si>
  <si>
    <t>Model</t>
  </si>
  <si>
    <t>Year</t>
  </si>
  <si>
    <t>Color</t>
  </si>
  <si>
    <t>Month</t>
  </si>
  <si>
    <t>Chassis No</t>
  </si>
  <si>
    <t>Engine No</t>
  </si>
  <si>
    <t>Car Cost</t>
  </si>
  <si>
    <t>Odometer</t>
  </si>
  <si>
    <t>Insurance</t>
  </si>
  <si>
    <t>Freight</t>
  </si>
  <si>
    <t>Total CIF Yen</t>
  </si>
  <si>
    <t>CIF Euro</t>
  </si>
  <si>
    <t>VAT</t>
  </si>
  <si>
    <t>Total Euro</t>
  </si>
  <si>
    <t>Delivery Location</t>
  </si>
  <si>
    <t>Origin Statement</t>
  </si>
  <si>
    <t>TOYOTA</t>
  </si>
  <si>
    <t>DAA-ZYX10</t>
  </si>
  <si>
    <t>C-HR</t>
  </si>
  <si>
    <t>2020</t>
  </si>
  <si>
    <t>Silver</t>
  </si>
  <si>
    <t>4</t>
  </si>
  <si>
    <t>ZYX10-123456</t>
  </si>
  <si>
    <t>2ZR-12345</t>
  </si>
  <si>
    <t>¥1,500,000</t>
  </si>
  <si>
    <t>50000</t>
  </si>
  <si>
    <t>¥5,000</t>
  </si>
  <si>
    <t>¥100,000</t>
  </si>
  <si>
    <t>¥1,605,000</t>
  </si>
  <si>
    <t>€11,464.29</t>
  </si>
  <si>
    <t>€1,146.43</t>
  </si>
  <si>
    <t>€2,636.79</t>
  </si>
  <si>
    <t>€16,297.51</t>
  </si>
  <si>
    <t>[Delivery Location]</t>
  </si>
  <si>
    <t>The product is of Japanese Preferential Origin. [ COUNTRY OF ORIGIN JAPAN ]</t>
  </si>
  <si>
    <t>¥3,205,230</t>
  </si>
  <si>
    <t>HONDA</t>
  </si>
  <si>
    <t>DAA-ABC3456</t>
  </si>
  <si>
    <t>Benz</t>
  </si>
  <si>
    <t>Blue</t>
  </si>
  <si>
    <t>ZYX10-123789</t>
  </si>
  <si>
    <t>¥1,675,300</t>
  </si>
  <si>
    <t>¥4,530</t>
  </si>
  <si>
    <t>Delivery Location here</t>
  </si>
  <si>
    <t>Nissan</t>
  </si>
  <si>
    <t>Red</t>
  </si>
  <si>
    <t>ZYX10-123457</t>
  </si>
  <si>
    <t>ZYX10-123784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</si>
</sst>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€&quot;#,##0.00;[Red]\-&quot;€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>
      <selection activeCell="B17" sqref="B17"/>
    </sheetView>
  </sheetViews>
  <sheetFormatPr defaultRowHeight="15" x14ac:dyDescent="0.25"/>
  <cols>
    <col min="1" max="1" width="19.5703125" bestFit="1" customWidth="1"/>
    <col min="2" max="2" width="20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22</v>
      </c>
    </row>
    <row r="13" spans="1:2" x14ac:dyDescent="0.25">
      <c r="A13" t="s">
        <v>23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tr">
        <f>_xlfn.CONCAT("", COUNTA(Items!A2:A12), " Cars")</f>
        <v>4 Cars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  <row r="22" spans="1:2" x14ac:dyDescent="0.25">
      <c r="A22" t="s">
        <v>39</v>
      </c>
      <c r="B22" t="s">
        <v>40</v>
      </c>
    </row>
    <row r="23" spans="1:2" x14ac:dyDescent="0.25">
      <c r="A23" t="s">
        <v>41</v>
      </c>
      <c r="B23" t="s">
        <v>42</v>
      </c>
    </row>
    <row r="24" spans="1:2" x14ac:dyDescent="0.25">
      <c r="A24" t="s">
        <v>43</v>
      </c>
      <c r="B24" t="s">
        <v>44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57</v>
      </c>
      <c r="B31" t="s">
        <v>58</v>
      </c>
    </row>
    <row r="32" spans="1:2" x14ac:dyDescent="0.25">
      <c r="A32" t="s">
        <v>59</v>
      </c>
      <c r="B32" t="s">
        <v>60</v>
      </c>
    </row>
    <row r="33" spans="1:2" x14ac:dyDescent="0.25">
      <c r="A33" t="s">
        <v>61</v>
      </c>
      <c r="B33" t="s">
        <v>62</v>
      </c>
    </row>
    <row r="34" spans="1:2" x14ac:dyDescent="0.25">
      <c r="A34" t="s">
        <v>63</v>
      </c>
      <c r="B34" t="s">
        <v>64</v>
      </c>
    </row>
    <row r="35" spans="1:2" x14ac:dyDescent="0.25">
      <c r="A35" t="s">
        <v>65</v>
      </c>
      <c r="B35" t="s">
        <v>66</v>
      </c>
    </row>
    <row r="36" spans="1:2" x14ac:dyDescent="0.25">
      <c r="A36" t="s">
        <v>67</v>
      </c>
      <c r="B36" t="s">
        <v>68</v>
      </c>
    </row>
    <row r="37" spans="1:2" x14ac:dyDescent="0.25">
      <c r="A37" t="s">
        <v>69</v>
      </c>
      <c r="B37" t="s">
        <v>50</v>
      </c>
    </row>
    <row r="38" spans="1:2" x14ac:dyDescent="0.25">
      <c r="A38" t="s">
        <v>70</v>
      </c>
      <c r="B38" t="s">
        <v>71</v>
      </c>
    </row>
    <row r="39" spans="1:2" x14ac:dyDescent="0.25">
      <c r="A39" t="s">
        <v>72</v>
      </c>
      <c r="B39" t="s">
        <v>73</v>
      </c>
    </row>
    <row r="40" spans="1:2" x14ac:dyDescent="0.25">
      <c r="A40" t="s">
        <v>74</v>
      </c>
      <c r="B40" t="s">
        <v>75</v>
      </c>
    </row>
    <row r="41" spans="1:2" x14ac:dyDescent="0.25">
      <c r="A41" t="s">
        <v>76</v>
      </c>
      <c r="B41" t="s">
        <v>52</v>
      </c>
    </row>
    <row r="42" spans="1:2" x14ac:dyDescent="0.25">
      <c r="A42" t="s">
        <v>77</v>
      </c>
      <c r="B42" t="s">
        <v>78</v>
      </c>
    </row>
    <row r="43" spans="1:2" x14ac:dyDescent="0.25">
      <c r="A43" t="s">
        <v>79</v>
      </c>
      <c r="B43" t="s">
        <v>68</v>
      </c>
    </row>
    <row r="44" spans="1:2" x14ac:dyDescent="0.25">
      <c r="A44" t="s">
        <v>80</v>
      </c>
      <c r="B44" t="s">
        <v>81</v>
      </c>
    </row>
    <row r="45" spans="1:2" x14ac:dyDescent="0.25">
      <c r="A45" t="s">
        <v>82</v>
      </c>
      <c r="B45" t="s">
        <v>83</v>
      </c>
    </row>
    <row r="46" spans="1:2" x14ac:dyDescent="0.25">
      <c r="A46" t="s">
        <v>84</v>
      </c>
      <c r="B46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"/>
  <sheetViews>
    <sheetView tabSelected="1" topLeftCell="C1" workbookViewId="0">
      <selection activeCell="G6" sqref="G6"/>
    </sheetView>
  </sheetViews>
  <sheetFormatPr defaultRowHeight="15" x14ac:dyDescent="0.25"/>
  <cols>
    <col min="7" max="7" width="12.85546875" bestFit="1" customWidth="1"/>
    <col min="14" max="14" width="10.28515625" bestFit="1" customWidth="1"/>
  </cols>
  <sheetData>
    <row r="1" spans="1:23" x14ac:dyDescent="0.25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  <c r="K1" t="s">
        <v>96</v>
      </c>
      <c r="L1" t="s">
        <v>97</v>
      </c>
      <c r="M1" t="s">
        <v>98</v>
      </c>
      <c r="N1" t="s">
        <v>99</v>
      </c>
      <c r="O1" t="s">
        <v>53</v>
      </c>
      <c r="P1" t="s">
        <v>55</v>
      </c>
      <c r="Q1" t="s">
        <v>57</v>
      </c>
      <c r="R1" t="s">
        <v>59</v>
      </c>
      <c r="S1" t="s">
        <v>61</v>
      </c>
      <c r="T1" t="s">
        <v>100</v>
      </c>
      <c r="U1" t="s">
        <v>101</v>
      </c>
      <c r="V1" t="s">
        <v>102</v>
      </c>
      <c r="W1" t="s">
        <v>103</v>
      </c>
    </row>
    <row r="2" spans="1:23" x14ac:dyDescent="0.25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56</v>
      </c>
      <c r="Q2" t="s">
        <v>58</v>
      </c>
      <c r="R2" t="s">
        <v>60</v>
      </c>
      <c r="S2" t="s">
        <v>62</v>
      </c>
      <c r="T2" t="s">
        <v>119</v>
      </c>
      <c r="U2" t="s">
        <v>120</v>
      </c>
      <c r="V2" t="s">
        <v>121</v>
      </c>
      <c r="W2" t="s">
        <v>122</v>
      </c>
    </row>
    <row r="3" spans="1:23" x14ac:dyDescent="0.25">
      <c r="A3" t="s">
        <v>104</v>
      </c>
      <c r="B3" t="s">
        <v>105</v>
      </c>
      <c r="C3" t="s">
        <v>106</v>
      </c>
      <c r="D3" t="s">
        <v>107</v>
      </c>
      <c r="E3" t="s">
        <v>108</v>
      </c>
      <c r="F3" t="s">
        <v>109</v>
      </c>
      <c r="G3" t="s">
        <v>134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123</v>
      </c>
      <c r="N3" s="1">
        <v>10264.799999999999</v>
      </c>
      <c r="O3" t="s">
        <v>118</v>
      </c>
      <c r="P3" t="s">
        <v>56</v>
      </c>
      <c r="Q3" t="s">
        <v>58</v>
      </c>
      <c r="R3" t="s">
        <v>60</v>
      </c>
      <c r="S3" t="s">
        <v>62</v>
      </c>
      <c r="T3" s="1">
        <v>1346.79</v>
      </c>
      <c r="U3" t="s">
        <v>120</v>
      </c>
      <c r="V3" t="s">
        <v>121</v>
      </c>
      <c r="W3" t="s">
        <v>122</v>
      </c>
    </row>
    <row r="4" spans="1:23" x14ac:dyDescent="0.25">
      <c r="A4" t="s">
        <v>124</v>
      </c>
      <c r="B4" t="s">
        <v>125</v>
      </c>
      <c r="C4" t="s">
        <v>126</v>
      </c>
      <c r="D4" t="s">
        <v>107</v>
      </c>
      <c r="E4" t="s">
        <v>127</v>
      </c>
      <c r="F4">
        <v>12</v>
      </c>
      <c r="G4" t="s">
        <v>128</v>
      </c>
      <c r="H4" t="s">
        <v>111</v>
      </c>
      <c r="I4" t="s">
        <v>129</v>
      </c>
      <c r="J4">
        <v>345802</v>
      </c>
      <c r="K4" t="s">
        <v>130</v>
      </c>
      <c r="L4" t="s">
        <v>115</v>
      </c>
      <c r="M4" t="s">
        <v>123</v>
      </c>
      <c r="N4" s="1">
        <v>10264.799999999999</v>
      </c>
      <c r="O4" t="s">
        <v>118</v>
      </c>
      <c r="P4" t="s">
        <v>56</v>
      </c>
      <c r="Q4" t="s">
        <v>58</v>
      </c>
      <c r="R4" t="s">
        <v>60</v>
      </c>
      <c r="S4" t="s">
        <v>62</v>
      </c>
      <c r="T4" s="1">
        <v>1346.79</v>
      </c>
      <c r="U4" t="s">
        <v>120</v>
      </c>
      <c r="V4" t="s">
        <v>131</v>
      </c>
      <c r="W4" t="s">
        <v>122</v>
      </c>
    </row>
    <row r="5" spans="1:23" x14ac:dyDescent="0.25">
      <c r="A5" t="s">
        <v>124</v>
      </c>
      <c r="B5" t="s">
        <v>125</v>
      </c>
      <c r="C5" t="s">
        <v>132</v>
      </c>
      <c r="D5" t="s">
        <v>107</v>
      </c>
      <c r="E5" t="s">
        <v>133</v>
      </c>
      <c r="F5">
        <v>12</v>
      </c>
      <c r="G5" t="s">
        <v>135</v>
      </c>
      <c r="H5" t="s">
        <v>111</v>
      </c>
      <c r="I5" t="s">
        <v>129</v>
      </c>
      <c r="J5">
        <v>345802</v>
      </c>
      <c r="K5" t="s">
        <v>130</v>
      </c>
      <c r="L5" t="s">
        <v>115</v>
      </c>
      <c r="M5" t="s">
        <v>123</v>
      </c>
      <c r="N5" s="1">
        <v>10264.799999999999</v>
      </c>
      <c r="O5" t="s">
        <v>118</v>
      </c>
      <c r="P5" t="s">
        <v>56</v>
      </c>
      <c r="Q5" t="s">
        <v>58</v>
      </c>
      <c r="R5" t="s">
        <v>60</v>
      </c>
      <c r="S5" t="s">
        <v>62</v>
      </c>
      <c r="T5" s="1">
        <v>1346.79</v>
      </c>
      <c r="U5" t="s">
        <v>120</v>
      </c>
      <c r="V5" t="s">
        <v>131</v>
      </c>
      <c r="W5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Atul Thakker</cp:lastModifiedBy>
  <dcterms:created xsi:type="dcterms:W3CDTF">2026-02-02T17:37:10Z</dcterms:created>
  <dcterms:modified xsi:type="dcterms:W3CDTF">2026-02-11T14:49:08Z</dcterms:modified>
</cp:coreProperties>
</file>